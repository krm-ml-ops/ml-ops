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Модель измерения" sheetId="1" state="visible" r:id="rId1"/>
    <sheet name="Сводка покрытия" sheetId="2" state="visible" r:id="rId2"/>
    <sheet name="Справочник КРМ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1F1F1F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5B9BD5"/>
        <bgColor rgb="FF96969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center" vertical="center"/>
    </xf>
    <xf numFmtId="0" fontId="6" fillId="3" borderId="0" applyAlignment="1" pivotButton="0" quotePrefix="0" xfId="20">
      <alignment horizontal="general" vertical="center" wrapText="1"/>
    </xf>
    <xf numFmtId="0" fontId="5" fillId="4" borderId="0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center" vertical="top" wrapText="1"/>
    </xf>
    <xf numFmtId="0" fontId="4" fillId="0" borderId="0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center" vertical="center"/>
    </xf>
    <xf numFmtId="0" fontId="6" fillId="3" borderId="0" applyAlignment="1" pivotButton="0" quotePrefix="0" xfId="20">
      <alignment horizontal="general" vertical="center" wrapText="1"/>
    </xf>
    <xf numFmtId="0" fontId="5" fillId="4" borderId="0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center" vertical="top" wrapText="1"/>
    </xf>
    <xf numFmtId="0" fontId="4" fillId="0" borderId="0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easurementModelTable" displayName="MeasurementModelTable" ref="A4:P32" headerRowCount="1" totalsRowCount="0" totalsRowShown="0">
  <tableColumns count="16">
    <tableColumn id="1" name="№"/>
    <tableColumn id="2" name="Элемент контроля"/>
    <tableColumn id="3" name="Код компетенции"/>
    <tableColumn id="4" name="Индикатор"/>
    <tableColumn id="5" name="Уровень КРМ"/>
    <tableColumn id="6" name="Формулировка индикатора КРМ"/>
    <tableColumn id="7" name="Дескриптор выбранного уровня КРМ"/>
    <tableColumn id="8" name="Предметный дескриптор дисциплины"/>
    <tableColumn id="9" name="КИМ / задание"/>
    <tableColumn id="10" name="Оцениваемый продукт или действие"/>
    <tableColumn id="11" name="Критерии и наблюдаемые признаки достижения"/>
    <tableColumn id="12" name="Форма контроля"/>
    <tableColumn id="13" name="Вес элемента"/>
    <tableColumn id="14" name="Ресурс репозитория"/>
    <tableColumn id="15" name="Основание / ограничение интерпретации"/>
    <tableColumn id="16" name="Статус покрытия"/>
  </tableColumns>
</table>
</file>

<file path=xl/tables/table2.xml><?xml version="1.0" encoding="utf-8"?>
<table xmlns="http://schemas.openxmlformats.org/spreadsheetml/2006/main" id="2" name="CoverageSummaryTable" displayName="CoverageSummaryTable" ref="A3:I8" headerRowCount="1" totalsRowCount="0" totalsRowShown="0">
  <tableColumns count="9">
    <tableColumn id="1" name="Индикатор"/>
    <tableColumn id="2" name="Компетенция"/>
    <tableColumn id="3" name="Уровень"/>
    <tableColumn id="4" name="Лабораторные работы"/>
    <tableColumn id="5" name="Строк ЛР"/>
    <tableColumn id="6" name="Строк зачета"/>
    <tableColumn id="7" name="Всего измерений"/>
    <tableColumn id="8" name="Итоговый статус"/>
    <tableColumn id="9" name="Комментарий для проверки"/>
  </tableColumns>
</table>
</file>

<file path=xl/tables/table3.xml><?xml version="1.0" encoding="utf-8"?>
<table xmlns="http://schemas.openxmlformats.org/spreadsheetml/2006/main" id="3" name="KRMReferenceTable" displayName="KRMReferenceTable" ref="A3:G8" headerRowCount="1" totalsRowCount="0" totalsRowShown="0">
  <tableColumns count="7">
    <tableColumn id="1" name="Код компетенции"/>
    <tableColumn id="2" name="Формулировка компетенции"/>
    <tableColumn id="3" name="Индикатор"/>
    <tableColumn id="4" name="Уровень"/>
    <tableColumn id="5" name="Формулировка индикатора"/>
    <tableColumn id="6" name="Дескриптор выбранного уровня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32"/>
  <sheetViews>
    <sheetView showFormulas="1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G5" activeCellId="0" sqref="G5"/>
    </sheetView>
  </sheetViews>
  <sheetFormatPr baseColWidth="8" defaultColWidth="8.6796875" defaultRowHeight="15" zeroHeight="0" outlineLevelRow="0"/>
  <cols>
    <col width="5" customWidth="1" style="6" min="1" max="1"/>
    <col width="28" customWidth="1" style="6" min="2" max="2"/>
    <col width="12" customWidth="1" style="6" min="3" max="4"/>
    <col width="13" customWidth="1" style="6" min="5" max="5"/>
    <col width="42" customWidth="1" style="6" min="6" max="6"/>
    <col width="44" customWidth="1" style="6" min="7" max="8"/>
    <col width="34" customWidth="1" style="6" min="9" max="9"/>
    <col width="38" customWidth="1" style="6" min="10" max="10"/>
    <col width="44" customWidth="1" style="6" min="11" max="11"/>
    <col width="22" customWidth="1" style="6" min="12" max="12"/>
    <col width="23" customWidth="1" style="6" min="13" max="13"/>
    <col width="42" customWidth="1" style="6" min="14" max="15"/>
    <col width="16" customWidth="1" style="6" min="16" max="16"/>
  </cols>
  <sheetData>
    <row r="1" ht="30" customHeight="1" s="7">
      <c r="A1" s="8" t="inlineStr">
        <is>
          <t>Модель измерения результатов обучения по дисциплине «Основы MLOps»</t>
        </is>
      </c>
    </row>
    <row r="2" ht="38" customHeight="1" s="7">
      <c r="A2" s="9" t="inlineStr">
        <is>
          <t>Основание: репозиторий ml-ops-main-2 и КРМ 3.0. В модели используются пять индикаторов КРМ. Одна строка соответствует одному индикатору, проверяемому конкретным элементом контроля.</t>
        </is>
      </c>
    </row>
    <row r="4" ht="48" customHeight="1" s="7">
      <c r="A4" s="10" t="inlineStr">
        <is>
          <t>№</t>
        </is>
      </c>
      <c r="B4" s="10" t="inlineStr">
        <is>
          <t>Элемент контроля</t>
        </is>
      </c>
      <c r="C4" s="10" t="inlineStr">
        <is>
          <t>Код компетенции</t>
        </is>
      </c>
      <c r="D4" s="10" t="inlineStr">
        <is>
          <t>Индикатор</t>
        </is>
      </c>
      <c r="E4" s="10" t="inlineStr">
        <is>
          <t>Уровень КРМ</t>
        </is>
      </c>
      <c r="F4" s="10" t="inlineStr">
        <is>
          <t>Формулировка индикатора КРМ</t>
        </is>
      </c>
      <c r="G4" s="10" t="inlineStr">
        <is>
          <t>Дескриптор выбранного уровня КРМ</t>
        </is>
      </c>
      <c r="H4" s="10" t="inlineStr">
        <is>
          <t>Предметный дескриптор дисциплины</t>
        </is>
      </c>
      <c r="I4" s="10" t="inlineStr">
        <is>
          <t>КИМ / задание</t>
        </is>
      </c>
      <c r="J4" s="10" t="inlineStr">
        <is>
          <t>Оцениваемый продукт или действие</t>
        </is>
      </c>
      <c r="K4" s="10" t="inlineStr">
        <is>
          <t>Критерии и наблюдаемые признаки достижения</t>
        </is>
      </c>
      <c r="L4" s="10" t="inlineStr">
        <is>
          <t>Форма контроля</t>
        </is>
      </c>
      <c r="M4" s="10" t="inlineStr">
        <is>
          <t>Вес элемента</t>
        </is>
      </c>
      <c r="N4" s="10" t="inlineStr">
        <is>
          <t>Ресурс репозитория</t>
        </is>
      </c>
      <c r="O4" s="10" t="inlineStr">
        <is>
          <t>Основание / ограничение интерпретации</t>
        </is>
      </c>
      <c r="P4" s="10" t="inlineStr">
        <is>
          <t>Статус покрытия</t>
        </is>
      </c>
    </row>
    <row r="5" ht="92" customHeight="1" s="7">
      <c r="A5" s="11" t="n">
        <v>1</v>
      </c>
      <c r="B5" s="12" t="inlineStr">
        <is>
          <t>ЛР 1. Docker и воспроизводимое окружение</t>
        </is>
      </c>
      <c r="C5" s="11" t="inlineStr">
        <is>
          <t>LC-5</t>
        </is>
      </c>
      <c r="D5" s="11" t="inlineStr">
        <is>
          <t>LC-5.1</t>
        </is>
      </c>
      <c r="E5" s="11" t="inlineStr">
        <is>
          <t>Средний</t>
        </is>
      </c>
      <c r="F5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5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5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5" s="12" t="inlineStr">
        <is>
          <t>Индивидуальное задание ЛР 1; защита; контрольные вопросы 1–10</t>
        </is>
      </c>
      <c r="J5" s="12" t="inlineStr">
        <is>
          <t>Dockerfile, зафиксированные зависимости, контейнер, команды запуска, отчет</t>
        </is>
      </c>
      <c r="K5" s="12" t="inlineStr">
        <is>
          <t>Окружение пересоздаётся по документации; версии заданы явно; контейнер успешно выполняет workflow; решение объяснено и воспроизводимо.</t>
        </is>
      </c>
      <c r="L5" s="11" t="inlineStr">
        <is>
          <t>Выполнение и защита лабораторной работы</t>
        </is>
      </c>
      <c r="M5" s="11" t="inlineStr">
        <is>
          <t>10 баллов за ЛР в совокупности</t>
        </is>
      </c>
      <c r="N5" s="12" t="inlineStr">
        <is>
          <t>modules/M1-ci-cd-devops-ml/lab-01-docker-reproducible-environment.md</t>
        </is>
      </c>
      <c r="O5" s="12" t="inlineStr">
        <is>
          <t>Прямо предусмотрены выбор и настройка Docker, зависимостей и runtime-окружения.</t>
        </is>
      </c>
      <c r="P5" s="11" t="inlineStr">
        <is>
          <t>Прямое</t>
        </is>
      </c>
    </row>
    <row r="6" ht="92" customHeight="1" s="7">
      <c r="A6" s="11" t="n">
        <v>2</v>
      </c>
      <c r="B6" s="12" t="inlineStr">
        <is>
          <t>ЛР 1. Docker и воспроизводимое окружение</t>
        </is>
      </c>
      <c r="C6" s="11" t="inlineStr">
        <is>
          <t>BD-5</t>
        </is>
      </c>
      <c r="D6" s="11" t="inlineStr">
        <is>
          <t>BD-5.1</t>
        </is>
      </c>
      <c r="E6" s="11" t="inlineStr">
        <is>
          <t>Продвинутый</t>
        </is>
      </c>
      <c r="F6" s="12" t="inlineStr">
        <is>
          <t>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</t>
        </is>
      </c>
      <c r="G6" s="12" t="inlineStr">
        <is>
          <t>Руководит проектами по организации инфраструктуры БД</t>
        </is>
      </c>
      <c r="H6" s="12" t="inlineStr">
        <is>
          <t>Обосновывает состав MLOps-стека, связывает инструменты в воспроизводимую инфраструктуру и документирует принятые технологические решения.</t>
        </is>
      </c>
      <c r="I6" s="12" t="inlineStr">
        <is>
          <t>Индивидуальное задание ЛР 1; разделы отчета «архитектура решения» и «сравнение окружений»</t>
        </is>
      </c>
      <c r="J6" s="12" t="inlineStr">
        <is>
          <t>Обоснование базового образа, структуры проекта, способа фиксации зависимостей и монтирования данных</t>
        </is>
      </c>
      <c r="K6" s="12" t="inlineStr">
        <is>
          <t>Выбор элементов стека связан с задачей; различия host/container выявлены; ограничения virtualenv и контейнера аргументированы; инфраструктура документирована.</t>
        </is>
      </c>
      <c r="L6" s="11" t="inlineStr">
        <is>
          <t>Выполнение и защита лабораторной работы</t>
        </is>
      </c>
      <c r="M6" s="11" t="inlineStr">
        <is>
          <t>10 баллов за ЛР в совокупности</t>
        </is>
      </c>
      <c r="N6" s="12" t="inlineStr">
        <is>
          <t>modules/M1-ci-cd-devops-ml/lab-01-docker-reproducible-environment.md</t>
        </is>
      </c>
      <c r="O6" s="12" t="inlineStr">
        <is>
          <t>ЛР требует сформировать и обосновать минимальный воспроизводимый стек ML-проекта.</t>
        </is>
      </c>
      <c r="P6" s="11" t="inlineStr">
        <is>
          <t>Прямое</t>
        </is>
      </c>
    </row>
    <row r="7" ht="92" customHeight="1" s="7">
      <c r="A7" s="11" t="n">
        <v>3</v>
      </c>
      <c r="B7" s="12" t="inlineStr">
        <is>
          <t>ЛР 2. Docker-образ и контейнеры</t>
        </is>
      </c>
      <c r="C7" s="11" t="inlineStr">
        <is>
          <t>LC-5</t>
        </is>
      </c>
      <c r="D7" s="11" t="inlineStr">
        <is>
          <t>LC-5.1</t>
        </is>
      </c>
      <c r="E7" s="11" t="inlineStr">
        <is>
          <t>Средний</t>
        </is>
      </c>
      <c r="F7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7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7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7" s="12" t="inlineStr">
        <is>
          <t>Индивидуальное задание ЛР 2; защита; контрольные вопросы 1–10</t>
        </is>
      </c>
      <c r="J7" s="12" t="inlineStr">
        <is>
          <t>Оптимизированный Docker-образ, .dockerignore, runtime-конфигурация, health check, непривилегированный пользователь</t>
        </is>
      </c>
      <c r="K7" s="12" t="inlineStr">
        <is>
          <t>Образ собирается и запускается; параметры вынесены из образа; артефакты сохраняются вне контейнера; health check и безопасный пользователь настроены корректно.</t>
        </is>
      </c>
      <c r="L7" s="11" t="inlineStr">
        <is>
          <t>Выполнение и защита лабораторной работы</t>
        </is>
      </c>
      <c r="M7" s="11" t="inlineStr">
        <is>
          <t>10 баллов за ЛР в совокупности</t>
        </is>
      </c>
      <c r="N7" s="12" t="inlineStr">
        <is>
          <t>modules/M1-ci-cd-devops-ml/lab-02-docker-images-and-containers.md</t>
        </is>
      </c>
      <c r="O7" s="12" t="inlineStr">
        <is>
          <t>Прямо измеряется настройка инженерных практик контейнеризации и сопровождения.</t>
        </is>
      </c>
      <c r="P7" s="11" t="inlineStr">
        <is>
          <t>Прямое</t>
        </is>
      </c>
    </row>
    <row r="8" ht="92" customHeight="1" s="7">
      <c r="A8" s="11" t="n">
        <v>4</v>
      </c>
      <c r="B8" s="12" t="inlineStr">
        <is>
          <t>ЛР 2. Docker-образ и контейнеры</t>
        </is>
      </c>
      <c r="C8" s="11" t="inlineStr">
        <is>
          <t>BD-5</t>
        </is>
      </c>
      <c r="D8" s="11" t="inlineStr">
        <is>
          <t>BD-5.3</t>
        </is>
      </c>
      <c r="E8" s="11" t="inlineStr">
        <is>
          <t>Продвинутый</t>
        </is>
      </c>
      <c r="F8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8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8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8" s="12" t="inlineStr">
        <is>
          <t>Измерения и проверочные действия ЛР 2</t>
        </is>
      </c>
      <c r="J8" s="12" t="inlineStr">
        <is>
          <t>Результаты docker inspect/logs/exec/stats, размер образа, время повторной сборки, проверка остановки и удаления</t>
        </is>
      </c>
      <c r="K8" s="12" t="inlineStr">
        <is>
          <t>Получены проверяемые измерения; подтверждена работоспособность health check; оценены размер, кэширование, безопасность и сопровождаемость; выводы основаны на наблюдениях.</t>
        </is>
      </c>
      <c r="L8" s="11" t="inlineStr">
        <is>
          <t>Выполнение и защита лабораторной работы</t>
        </is>
      </c>
      <c r="M8" s="11" t="inlineStr">
        <is>
          <t>10 баллов за ЛР в совокупности</t>
        </is>
      </c>
      <c r="N8" s="12" t="inlineStr">
        <is>
          <t>modules/M1-ci-cd-devops-ml/lab-02-docker-images-and-containers.md</t>
        </is>
      </c>
      <c r="O8" s="12" t="inlineStr">
        <is>
          <t>ЛР требует испытать контейнер и оценить его эксплуатационные характеристики.</t>
        </is>
      </c>
      <c r="P8" s="11" t="inlineStr">
        <is>
          <t>Прямое</t>
        </is>
      </c>
    </row>
    <row r="9" ht="92" customHeight="1" s="7">
      <c r="A9" s="11" t="n">
        <v>5</v>
      </c>
      <c r="B9" s="12" t="inlineStr">
        <is>
          <t>ЛР 3. CI/CD pipeline</t>
        </is>
      </c>
      <c r="C9" s="11" t="inlineStr">
        <is>
          <t>BD-5</t>
        </is>
      </c>
      <c r="D9" s="11" t="inlineStr">
        <is>
          <t>BD-5.3</t>
        </is>
      </c>
      <c r="E9" s="11" t="inlineStr">
        <is>
          <t>Продвинутый</t>
        </is>
      </c>
      <c r="F9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9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9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9" s="12" t="inlineStr">
        <is>
          <t>Индивидуальное задание ЛР 3; успешный и падающий прогоны</t>
        </is>
      </c>
      <c r="J9" s="12" t="inlineStr">
        <is>
          <t>Unit-тесты, тест качества данных, порог метрики модели, отчеты CI и артефакты</t>
        </is>
      </c>
      <c r="K9" s="12" t="inlineStr">
        <is>
          <t>Проверки действительно блокируют поставку при ошибке; порог качества формализован; представлены успешный и намеренно падающий прогоны; причины отказа интерпретированы.</t>
        </is>
      </c>
      <c r="L9" s="11" t="inlineStr">
        <is>
          <t>Выполнение и защита лабораторной работы</t>
        </is>
      </c>
      <c r="M9" s="11" t="inlineStr">
        <is>
          <t>10 баллов за ЛР в совокупности</t>
        </is>
      </c>
      <c r="N9" s="12" t="inlineStr">
        <is>
          <t>modules/M1-ci-cd-devops-ml/lab-03-ci-cd-pipeline.md</t>
        </is>
      </c>
      <c r="O9" s="12" t="inlineStr">
        <is>
          <t>Прямо измеряются автоматизированное тестирование и контроль качества ML-решения.</t>
        </is>
      </c>
      <c r="P9" s="11" t="inlineStr">
        <is>
          <t>Прямое</t>
        </is>
      </c>
    </row>
    <row r="10" ht="92" customHeight="1" s="7">
      <c r="A10" s="11" t="n">
        <v>7</v>
      </c>
      <c r="B10" s="12" t="inlineStr">
        <is>
          <t>ЛР 3. CI/CD pipeline</t>
        </is>
      </c>
      <c r="C10" s="11" t="inlineStr">
        <is>
          <t>LC-5</t>
        </is>
      </c>
      <c r="D10" s="11" t="inlineStr">
        <is>
          <t>LC-5.1</t>
        </is>
      </c>
      <c r="E10" s="11" t="inlineStr">
        <is>
          <t>Средний</t>
        </is>
      </c>
      <c r="F10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10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10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10" s="12" t="inlineStr">
        <is>
          <t>Workflow GitHub Actions или Jenkins; защита</t>
        </is>
      </c>
      <c r="J10" s="12" t="inlineStr">
        <is>
          <t>Конфигурация pipeline, кэш зависимостей, работа с секретами, артефактами и условной публикацией</t>
        </is>
      </c>
      <c r="K10" s="12" t="inlineStr">
        <is>
          <t>Инструмент настроен корректно; этапы и триггеры логичны; секреты не включены в код; артефакты сохраняются; публикация выполняется только при заданных условиях.</t>
        </is>
      </c>
      <c r="L10" s="11" t="inlineStr">
        <is>
          <t>Выполнение и защита лабораторной работы</t>
        </is>
      </c>
      <c r="M10" s="11" t="inlineStr">
        <is>
          <t>10 баллов за ЛР в совокупности</t>
        </is>
      </c>
      <c r="N10" s="12" t="inlineStr">
        <is>
          <t>modules/M1-ci-cd-devops-ml/lab-03-ci-cd-pipeline.md</t>
        </is>
      </c>
      <c r="O10" s="12" t="inlineStr">
        <is>
          <t>Прямо измеряется настройка CI/CD как инженерной практики промышленной разработки.</t>
        </is>
      </c>
      <c r="P10" s="11" t="inlineStr">
        <is>
          <t>Прямое</t>
        </is>
      </c>
    </row>
    <row r="11" ht="92" customHeight="1" s="7">
      <c r="A11" s="11" t="n">
        <v>8</v>
      </c>
      <c r="B11" s="12" t="inlineStr">
        <is>
          <t>ЛР 4. ML pipeline</t>
        </is>
      </c>
      <c r="C11" s="11" t="inlineStr">
        <is>
          <t>ML-2</t>
        </is>
      </c>
      <c r="D11" s="11" t="inlineStr">
        <is>
          <t>ML-2.2</t>
        </is>
      </c>
      <c r="E11" s="11" t="inlineStr">
        <is>
          <t>Продвинутый</t>
        </is>
      </c>
      <c r="F11" s="12" t="inlineStr">
        <is>
          <t>Применяет методы предварительной обработки данных и работы с признаками</t>
        </is>
      </c>
      <c r="G11" s="12" t="inlineStr">
        <is>
          <t>Проектирует и внедряет комплексные пайплайны предварительной обработки данных с использованием современных методов ИИ, автоматизации и генерации признаков в различных предметных областях</t>
        </is>
      </c>
      <c r="H11" s="12" t="inlineStr">
        <is>
          <t>Проектирует воспроизводимую подготовку данных и признаков, контролирует качество данных, исключает утечку и связывает версии данных с результатами обучения.</t>
        </is>
      </c>
      <c r="I11" s="12" t="inlineStr">
        <is>
          <t>Индивидуальное задание ЛР 4; тест валидации данных; защита</t>
        </is>
      </c>
      <c r="J11" s="12" t="inlineStr">
        <is>
          <t>Этапы load/validate/prepare/split/preprocess/train/evaluate/save, проверка пропусков, схемы и диапазонов</t>
        </is>
      </c>
      <c r="K11" s="12" t="inlineStr">
        <is>
          <t>Дефекты данных выявлены и обработаны; preprocessing обучается только на train; этапы воспроизводимы; подготовка данных тестируется; версия данных связана с моделью и метриками.</t>
        </is>
      </c>
      <c r="L11" s="11" t="inlineStr">
        <is>
          <t>Выполнение и защита лабораторной работы</t>
        </is>
      </c>
      <c r="M11" s="11" t="inlineStr">
        <is>
          <t>10 баллов за ЛР в совокупности</t>
        </is>
      </c>
      <c r="N11" s="12" t="inlineStr">
        <is>
          <t>modules/M2-ml-lifecycle/lab-04-ml-pipeline.md; исправленная редакция ЛР 4</t>
        </is>
      </c>
      <c r="O11" s="12" t="inlineStr">
        <is>
          <t>Основное оценочное средство для подготовки данных и признаков; учтены согласованные дополнения по data quality и этапу prepare.</t>
        </is>
      </c>
      <c r="P11" s="11" t="inlineStr">
        <is>
          <t>Прямое</t>
        </is>
      </c>
    </row>
    <row r="12" ht="92" customHeight="1" s="7">
      <c r="A12" s="11" t="n">
        <v>10</v>
      </c>
      <c r="B12" s="12" t="inlineStr">
        <is>
          <t>ЛР 4. ML pipeline</t>
        </is>
      </c>
      <c r="C12" s="11" t="inlineStr">
        <is>
          <t>LC-3</t>
        </is>
      </c>
      <c r="D12" s="11" t="inlineStr">
        <is>
          <t>LC-3.1</t>
        </is>
      </c>
      <c r="E12" s="11" t="inlineStr">
        <is>
          <t>Средний</t>
        </is>
      </c>
      <c r="F12" s="12" t="inlineStr">
        <is>
          <t>Создает и развивает архитектуры системы ИИ на всех этапах жизненного цикла</t>
        </is>
      </c>
      <c r="G12" s="12" t="inlineStr">
        <is>
          <t>Применяет различные принципы и паттерны при проектировании архитектуры систем ИИ</t>
        </is>
      </c>
      <c r="H12" s="12" t="inlineStr">
        <is>
          <t>Проектирует и объясняет архитектуру ML-решения от подготовки данных и обучения до API, наблюдаемости и сопровождения.</t>
        </is>
      </c>
      <c r="I12" s="12" t="inlineStr">
        <is>
          <t>Архитектурная схема и конфигурация pipeline; защита</t>
        </is>
      </c>
      <c r="J12" s="12" t="inlineStr">
        <is>
          <t>Архитектура этапов, зависимости между стадиями, набор сохраняемых артефактов и точек контроля</t>
        </is>
      </c>
      <c r="K12" s="12" t="inlineStr">
        <is>
          <t>Этапы имеют явные границы и интерфейсы; поток данных и артефактов объяснён; архитектура допускает замену этапа и повторный запуск; решения документированы.</t>
        </is>
      </c>
      <c r="L12" s="11" t="inlineStr">
        <is>
          <t>Выполнение и защита лабораторной работы</t>
        </is>
      </c>
      <c r="M12" s="11" t="inlineStr">
        <is>
          <t>10 баллов за ЛР в совокупности</t>
        </is>
      </c>
      <c r="N12" s="12" t="inlineStr">
        <is>
          <t>modules/M2-ml-lifecycle/lab-04-ml-pipeline.md</t>
        </is>
      </c>
      <c r="O12" s="12" t="inlineStr">
        <is>
          <t>ЛР требует спроектировать архитектуру полного учебного ML-конвейера.</t>
        </is>
      </c>
      <c r="P12" s="11" t="inlineStr">
        <is>
          <t>Прямое</t>
        </is>
      </c>
    </row>
    <row r="13" ht="92" customHeight="1" s="7">
      <c r="A13" s="11" t="n">
        <v>11</v>
      </c>
      <c r="B13" s="12" t="inlineStr">
        <is>
          <t>ЛР 5. MLflow</t>
        </is>
      </c>
      <c r="C13" s="11" t="inlineStr">
        <is>
          <t>BD-5</t>
        </is>
      </c>
      <c r="D13" s="11" t="inlineStr">
        <is>
          <t>BD-5.3</t>
        </is>
      </c>
      <c r="E13" s="11" t="inlineStr">
        <is>
          <t>Продвинутый</t>
        </is>
      </c>
      <c r="F13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13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13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13" s="12" t="inlineStr">
        <is>
          <t>Серия не менее 8 запусков; таблица сравнения; контрольный инференс</t>
        </is>
      </c>
      <c r="J13" s="12" t="inlineStr">
        <is>
          <t>Метрики, параметры, артефакты, длительность, сравнительный анализ и обоснование лучшего запуска</t>
        </is>
      </c>
      <c r="K13" s="12" t="inlineStr">
        <is>
          <t>Запуски сопоставимы; основная метрика определена; выбор кандидата обоснован не только максимумом test-метрики; модель успешно загружена и проверена.</t>
        </is>
      </c>
      <c r="L13" s="11" t="inlineStr">
        <is>
          <t>Выполнение и защита лабораторной работы</t>
        </is>
      </c>
      <c r="M13" s="11" t="inlineStr">
        <is>
          <t>10 баллов за ЛР в совокупности</t>
        </is>
      </c>
      <c r="N13" s="12" t="inlineStr">
        <is>
          <t>modules/M2-ml-lifecycle/lab-05-mlflow-experiment-tracking.md</t>
        </is>
      </c>
      <c r="O13" s="12" t="inlineStr">
        <is>
          <t>Прямо измеряется оценка качества и воспроизводимости серии ML-экспериментов.</t>
        </is>
      </c>
      <c r="P13" s="11" t="inlineStr">
        <is>
          <t>Прямое</t>
        </is>
      </c>
    </row>
    <row r="14" ht="92" customHeight="1" s="7">
      <c r="A14" s="11" t="n">
        <v>12</v>
      </c>
      <c r="B14" s="12" t="inlineStr">
        <is>
          <t>ЛР 5. MLflow</t>
        </is>
      </c>
      <c r="C14" s="11" t="inlineStr">
        <is>
          <t>ML-2</t>
        </is>
      </c>
      <c r="D14" s="11" t="inlineStr">
        <is>
          <t>ML-2.2</t>
        </is>
      </c>
      <c r="E14" s="11" t="inlineStr">
        <is>
          <t>Продвинутый</t>
        </is>
      </c>
      <c r="F14" s="12" t="inlineStr">
        <is>
          <t>Применяет методы предварительной обработки данных и работы с признаками</t>
        </is>
      </c>
      <c r="G14" s="12" t="inlineStr">
        <is>
          <t>Проектирует и внедряет комплексные пайплайны предварительной обработки данных с использованием современных методов ИИ, автоматизации и генерации признаков в различных предметных областях</t>
        </is>
      </c>
      <c r="H14" s="12" t="inlineStr">
        <is>
          <t>Проектирует воспроизводимую подготовку данных и признаков, контролирует качество данных, исключает утечку и связывает версии данных с результатами обучения.</t>
        </is>
      </c>
      <c r="I14" s="12" t="inlineStr">
        <is>
          <t>Параметризованные запуски и зарегистрированные артефакты</t>
        </is>
      </c>
      <c r="J14" s="12" t="inlineStr">
        <is>
          <t>Сравнение вариантов preprocessing/модели и фиксация seed, конфигурации, метрик и артефактов</t>
        </is>
      </c>
      <c r="K14" s="12" t="inlineStr">
        <is>
          <t>Изменяемые параметры и результаты прослеживаются; данные и preprocessing описаны; выбранный запуск воспроизводим; влияние параметров на метрику интерпретировано.</t>
        </is>
      </c>
      <c r="L14" s="11" t="inlineStr">
        <is>
          <t>Выполнение и защита лабораторной работы</t>
        </is>
      </c>
      <c r="M14" s="11" t="inlineStr">
        <is>
          <t>10 баллов за ЛР в совокупности</t>
        </is>
      </c>
      <c r="N14" s="12" t="inlineStr">
        <is>
          <t>modules/M2-ml-lifecycle/lab-05-mlflow-experiment-tracking.md</t>
        </is>
      </c>
      <c r="O14" s="12" t="inlineStr">
        <is>
          <t>Поддерживает индикатор через воспроизводимость экспериментов; непосредственно сложная генерация признаков не является обязательной.</t>
        </is>
      </c>
      <c r="P14" s="11" t="inlineStr">
        <is>
          <t>Частичное</t>
        </is>
      </c>
    </row>
    <row r="15" ht="92" customHeight="1" s="7">
      <c r="A15" s="11" t="n">
        <v>13</v>
      </c>
      <c r="B15" s="12" t="inlineStr">
        <is>
          <t>ЛР 5. MLflow</t>
        </is>
      </c>
      <c r="C15" s="11" t="inlineStr">
        <is>
          <t>LC-5</t>
        </is>
      </c>
      <c r="D15" s="11" t="inlineStr">
        <is>
          <t>LC-5.1</t>
        </is>
      </c>
      <c r="E15" s="11" t="inlineStr">
        <is>
          <t>Средний</t>
        </is>
      </c>
      <c r="F15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15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15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15" s="12" t="inlineStr">
        <is>
          <t>Конфигурация MLflow Tracking Server и Model Registry</t>
        </is>
      </c>
      <c r="J15" s="12" t="inlineStr">
        <is>
          <t>Backend store, artifact store, experiment, Model Registry, alias candidate и обратная загрузка модели</t>
        </is>
      </c>
      <c r="K15" s="12" t="inlineStr">
        <is>
          <t>MLflow развернут и настроен; сущности связаны корректно; артефакты доступны; зарегистрированная модель загружается по alias и выполняет инференс.</t>
        </is>
      </c>
      <c r="L15" s="11" t="inlineStr">
        <is>
          <t>Выполнение и защита лабораторной работы</t>
        </is>
      </c>
      <c r="M15" s="11" t="inlineStr">
        <is>
          <t>10 баллов за ЛР в совокупности</t>
        </is>
      </c>
      <c r="N15" s="12" t="inlineStr">
        <is>
          <t>modules/M2-ml-lifecycle/lab-05-mlflow-experiment-tracking.md</t>
        </is>
      </c>
      <c r="O15" s="12" t="inlineStr">
        <is>
          <t>Прямо измеряется настройка инструмента промышленного управления экспериментами и моделями.</t>
        </is>
      </c>
      <c r="P15" s="11" t="inlineStr">
        <is>
          <t>Прямое</t>
        </is>
      </c>
    </row>
    <row r="16" ht="92" customHeight="1" s="7">
      <c r="A16" s="11" t="n">
        <v>14</v>
      </c>
      <c r="B16" s="12" t="inlineStr">
        <is>
          <t>ЛР 6. DVC</t>
        </is>
      </c>
      <c r="C16" s="11" t="inlineStr">
        <is>
          <t>BD-5</t>
        </is>
      </c>
      <c r="D16" s="11" t="inlineStr">
        <is>
          <t>BD-5.3</t>
        </is>
      </c>
      <c r="E16" s="11" t="inlineStr">
        <is>
          <t>Продвинутый</t>
        </is>
      </c>
      <c r="F16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16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16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16" s="12" t="inlineStr">
        <is>
          <t>Сравнение не менее двух ревизий и восстановление предыдущего состояния</t>
        </is>
      </c>
      <c r="J16" s="12" t="inlineStr">
        <is>
          <t>Таблица/отчет по метрикам ревизий, подтверждение dvc pull и воспроизводимости</t>
        </is>
      </c>
      <c r="K16" s="12" t="inlineStr">
        <is>
          <t>Изменение данных контролируемо; метрики между ревизиями сопоставлены; причины изменения качества объяснены; предыдущая версия полностью восстановлена.</t>
        </is>
      </c>
      <c r="L16" s="11" t="inlineStr">
        <is>
          <t>Выполнение и защита лабораторной работы</t>
        </is>
      </c>
      <c r="M16" s="11" t="inlineStr">
        <is>
          <t>10 баллов за ЛР в совокупности</t>
        </is>
      </c>
      <c r="N16" s="12" t="inlineStr">
        <is>
          <t>modules/M2-ml-lifecycle/lab-06-dvc-data-model-versioning.md</t>
        </is>
      </c>
      <c r="O16" s="12" t="inlineStr">
        <is>
          <t>Прямо измеряется испытание решения на измененных данных и оценка воспроизводимости.</t>
        </is>
      </c>
      <c r="P16" s="11" t="inlineStr">
        <is>
          <t>Прямое</t>
        </is>
      </c>
    </row>
    <row r="17" ht="92" customHeight="1" s="7">
      <c r="A17" s="11" t="n">
        <v>15</v>
      </c>
      <c r="B17" s="12" t="inlineStr">
        <is>
          <t>ЛР 6. DVC</t>
        </is>
      </c>
      <c r="C17" s="11" t="inlineStr">
        <is>
          <t>ML-2</t>
        </is>
      </c>
      <c r="D17" s="11" t="inlineStr">
        <is>
          <t>ML-2.2</t>
        </is>
      </c>
      <c r="E17" s="11" t="inlineStr">
        <is>
          <t>Продвинутый</t>
        </is>
      </c>
      <c r="F17" s="12" t="inlineStr">
        <is>
          <t>Применяет методы предварительной обработки данных и работы с признаками</t>
        </is>
      </c>
      <c r="G17" s="12" t="inlineStr">
        <is>
          <t>Проектирует и внедряет комплексные пайплайны предварительной обработки данных с использованием современных методов ИИ, автоматизации и генерации признаков в различных предметных областях</t>
        </is>
      </c>
      <c r="H17" s="12" t="inlineStr">
        <is>
          <t>Проектирует воспроизводимую подготовку данных и признаков, контролирует качество данных, исключает утечку и связывает версии данных с результатами обучения.</t>
        </is>
      </c>
      <c r="I17" s="12" t="inlineStr">
        <is>
          <t>DVC pipeline prepare/train/evaluate; индивидуальное изменение данных</t>
        </is>
      </c>
      <c r="J17" s="12" t="inlineStr">
        <is>
          <t>dvc.yaml, dvc.lock, параметры, зависимости, выходы, метрики, граф pipeline</t>
        </is>
      </c>
      <c r="K17" s="12" t="inlineStr">
        <is>
          <t>Этап prepare формализован; изменения данных отражаются в зависимостях и метриках; повторно выполняются только необходимые этапы; версии данных и модели связаны с Git.</t>
        </is>
      </c>
      <c r="L17" s="11" t="inlineStr">
        <is>
          <t>Выполнение и защита лабораторной работы</t>
        </is>
      </c>
      <c r="M17" s="11" t="inlineStr">
        <is>
          <t>10 баллов за ЛР в совокупности</t>
        </is>
      </c>
      <c r="N17" s="12" t="inlineStr">
        <is>
          <t>modules/M2-ml-lifecycle/lab-06-dvc-data-model-versioning.md</t>
        </is>
      </c>
      <c r="O17" s="12" t="inlineStr">
        <is>
          <t>Прямо измеряются воспроизводимая подготовка данных и контроль версий pipeline.</t>
        </is>
      </c>
      <c r="P17" s="11" t="inlineStr">
        <is>
          <t>Прямое</t>
        </is>
      </c>
    </row>
    <row r="18" ht="92" customHeight="1" s="7">
      <c r="A18" s="11" t="n">
        <v>17</v>
      </c>
      <c r="B18" s="12" t="inlineStr">
        <is>
          <t>ЛР 7. FastAPI-сервис</t>
        </is>
      </c>
      <c r="C18" s="11" t="inlineStr">
        <is>
          <t>LC-5</t>
        </is>
      </c>
      <c r="D18" s="11" t="inlineStr">
        <is>
          <t>LC-5.1</t>
        </is>
      </c>
      <c r="E18" s="11" t="inlineStr">
        <is>
          <t>Средний</t>
        </is>
      </c>
      <c r="F18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18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18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18" s="12" t="inlineStr">
        <is>
          <t>Индивидуальное задание ЛР 7; контейнеризированный запуск; защита</t>
        </is>
      </c>
      <c r="J18" s="12" t="inlineStr">
        <is>
          <t>FastAPI-приложение, OpenAPI, Pydantic-схемы, /health, /model-info, /predict, /predict-batch</t>
        </is>
      </c>
      <c r="K18" s="12" t="inlineStr">
        <is>
          <t>Сервис запускается в контейнере; контракт документирован; модель загружается один раз; конфигурация и логирование пригодны для сопровождения.</t>
        </is>
      </c>
      <c r="L18" s="11" t="inlineStr">
        <is>
          <t>Выполнение и защита лабораторной работы</t>
        </is>
      </c>
      <c r="M18" s="11" t="inlineStr">
        <is>
          <t>10 баллов за ЛР в совокупности</t>
        </is>
      </c>
      <c r="N18" s="12" t="inlineStr">
        <is>
          <t>modules/M3-deployment-monitoring/lab-07-fastapi-model-service.md</t>
        </is>
      </c>
      <c r="O18" s="12" t="inlineStr">
        <is>
          <t>Прямо измеряется настройка инструмента развертывания и сопровождения модели.</t>
        </is>
      </c>
      <c r="P18" s="11" t="inlineStr">
        <is>
          <t>Прямое</t>
        </is>
      </c>
    </row>
    <row r="19" ht="92" customHeight="1" s="7">
      <c r="A19" s="11" t="n">
        <v>19</v>
      </c>
      <c r="B19" s="12" t="inlineStr">
        <is>
          <t>ЛР 7. FastAPI-сервис</t>
        </is>
      </c>
      <c r="C19" s="11" t="inlineStr">
        <is>
          <t>BD-5</t>
        </is>
      </c>
      <c r="D19" s="11" t="inlineStr">
        <is>
          <t>BD-5.3</t>
        </is>
      </c>
      <c r="E19" s="11" t="inlineStr">
        <is>
          <t>Продвинутый</t>
        </is>
      </c>
      <c r="F19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19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19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19" s="12" t="inlineStr">
        <is>
          <t>Не менее 6 API-тестов и 100 последовательных запросов</t>
        </is>
      </c>
      <c r="J19" s="12" t="inlineStr">
        <is>
          <t>Результаты тестов, ошибки валидации, измерение latency и журналирование</t>
        </is>
      </c>
      <c r="K19" s="12" t="inlineStr">
        <is>
          <t>Позитивные и негативные сценарии покрыты; ошибки возвращаются структурированно; latency измерена воспроизводимо; чувствительные данные не попадают в журнал.</t>
        </is>
      </c>
      <c r="L19" s="11" t="inlineStr">
        <is>
          <t>Выполнение и защита лабораторной работы</t>
        </is>
      </c>
      <c r="M19" s="11" t="inlineStr">
        <is>
          <t>10 баллов за ЛР в совокупности</t>
        </is>
      </c>
      <c r="N19" s="12" t="inlineStr">
        <is>
          <t>modules/M3-deployment-monitoring/lab-07-fastapi-model-service.md</t>
        </is>
      </c>
      <c r="O19" s="12" t="inlineStr">
        <is>
          <t>Прямо измеряется тестирование и оценка качества ML-сервиса.</t>
        </is>
      </c>
      <c r="P19" s="11" t="inlineStr">
        <is>
          <t>Прямое</t>
        </is>
      </c>
    </row>
    <row r="20" ht="92" customHeight="1" s="7">
      <c r="A20" s="11" t="n">
        <v>20</v>
      </c>
      <c r="B20" s="12" t="inlineStr">
        <is>
          <t>ЛР 8. Prometheus и Grafana</t>
        </is>
      </c>
      <c r="C20" s="11" t="inlineStr">
        <is>
          <t>BD-5</t>
        </is>
      </c>
      <c r="D20" s="11" t="inlineStr">
        <is>
          <t>BD-5.1</t>
        </is>
      </c>
      <c r="E20" s="11" t="inlineStr">
        <is>
          <t>Продвинутый</t>
        </is>
      </c>
      <c r="F20" s="12" t="inlineStr">
        <is>
          <t>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</t>
        </is>
      </c>
      <c r="G20" s="12" t="inlineStr">
        <is>
          <t>Руководит проектами по организации инфраструктуры БД</t>
        </is>
      </c>
      <c r="H20" s="12" t="inlineStr">
        <is>
          <t>Обосновывает состав MLOps-стека, связывает инструменты в воспроизводимую инфраструктуру и документирует принятые технологические решения.</t>
        </is>
      </c>
      <c r="I20" s="12" t="inlineStr">
        <is>
          <t>Архитектура мониторинга и выбор метрик/alert-правил</t>
        </is>
      </c>
      <c r="J20" s="12" t="inlineStr">
        <is>
          <t>Состав стека service + Prometheus + Grafana, scrape-конфигурация, dashboard и два alert</t>
        </is>
      </c>
      <c r="K20" s="12" t="inlineStr">
        <is>
          <t>Компоненты и потоки метрик обоснованы; выбранные показатели соответствуют рискам сервиса и модели; инфраструктура мониторинга документирована.</t>
        </is>
      </c>
      <c r="L20" s="11" t="inlineStr">
        <is>
          <t>Выполнение и защита лабораторной работы</t>
        </is>
      </c>
      <c r="M20" s="11" t="inlineStr">
        <is>
          <t>10 баллов за ЛР в совокупности</t>
        </is>
      </c>
      <c r="N20" s="12" t="inlineStr">
        <is>
          <t>modules/M3-deployment-monitoring/lab-08-monitoring-prometheus-grafana.md</t>
        </is>
      </c>
      <c r="O20" s="12" t="inlineStr">
        <is>
          <t>ЛР требует выбрать и связать технологический стек наблюдаемости.</t>
        </is>
      </c>
      <c r="P20" s="11" t="inlineStr">
        <is>
          <t>Прямое</t>
        </is>
      </c>
    </row>
    <row r="21" ht="92" customHeight="1" s="7">
      <c r="A21" s="11" t="n">
        <v>21</v>
      </c>
      <c r="B21" s="12" t="inlineStr">
        <is>
          <t>ЛР 8. Prometheus и Grafana</t>
        </is>
      </c>
      <c r="C21" s="11" t="inlineStr">
        <is>
          <t>BD-5</t>
        </is>
      </c>
      <c r="D21" s="11" t="inlineStr">
        <is>
          <t>BD-5.3</t>
        </is>
      </c>
      <c r="E21" s="11" t="inlineStr">
        <is>
          <t>Продвинутый</t>
        </is>
      </c>
      <c r="F21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21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21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21" s="12" t="inlineStr">
        <is>
          <t>Нагрузочные сценарии, dashboard и проверка alert-правил</t>
        </is>
      </c>
      <c r="J21" s="12" t="inlineStr">
        <is>
          <t>Сервисные и модельные метрики, нормальная/пиковая/ошибочная нагрузка, подтверждение срабатывания alert</t>
        </is>
      </c>
      <c r="K21" s="12" t="inlineStr">
        <is>
          <t>Метрики корректно собираются; dashboard позволяет диагностировать состояние; оба alert воспроизводимо срабатывают; признаки деградации интерпретированы.</t>
        </is>
      </c>
      <c r="L21" s="11" t="inlineStr">
        <is>
          <t>Выполнение и защита лабораторной работы</t>
        </is>
      </c>
      <c r="M21" s="11" t="inlineStr">
        <is>
          <t>10 баллов за ЛР в совокупности</t>
        </is>
      </c>
      <c r="N21" s="12" t="inlineStr">
        <is>
          <t>modules/M3-deployment-monitoring/lab-08-monitoring-prometheus-grafana.md</t>
        </is>
      </c>
      <c r="O21" s="12" t="inlineStr">
        <is>
          <t>Прямо измеряется эксплуатационный контроль качества и устойчивости ML-решения.</t>
        </is>
      </c>
      <c r="P21" s="11" t="inlineStr">
        <is>
          <t>Прямое</t>
        </is>
      </c>
    </row>
    <row r="22" ht="92" customHeight="1" s="7">
      <c r="A22" s="11" t="n">
        <v>22</v>
      </c>
      <c r="B22" s="12" t="inlineStr">
        <is>
          <t>ЛР 8. Prometheus и Grafana</t>
        </is>
      </c>
      <c r="C22" s="11" t="inlineStr">
        <is>
          <t>LC-5</t>
        </is>
      </c>
      <c r="D22" s="11" t="inlineStr">
        <is>
          <t>LC-5.1</t>
        </is>
      </c>
      <c r="E22" s="11" t="inlineStr">
        <is>
          <t>Средний</t>
        </is>
      </c>
      <c r="F22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22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22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22" s="12" t="inlineStr">
        <is>
          <t>Настройка Prometheus, Grafana и инструментирование FastAPI</t>
        </is>
      </c>
      <c r="J22" s="12" t="inlineStr">
        <is>
          <t>Endpoint /metrics, counters/histogram/gauge, scrape, dashboard не менее 6 панелей, alert-правила</t>
        </is>
      </c>
      <c r="K22" s="12" t="inlineStr">
        <is>
          <t>Инструменты интегрированы; типы метрик выбраны корректно; labels не создают неоправданную кардинальность; dashboard и alerts пригодны для сопровождения.</t>
        </is>
      </c>
      <c r="L22" s="11" t="inlineStr">
        <is>
          <t>Выполнение и защита лабораторной работы</t>
        </is>
      </c>
      <c r="M22" s="11" t="inlineStr">
        <is>
          <t>10 баллов за ЛР в совокупности</t>
        </is>
      </c>
      <c r="N22" s="12" t="inlineStr">
        <is>
          <t>modules/M3-deployment-monitoring/lab-08-monitoring-prometheus-grafana.md</t>
        </is>
      </c>
      <c r="O22" s="12" t="inlineStr">
        <is>
          <t>Прямо измеряется настройка инструментов мониторинга и сопровождения модели.</t>
        </is>
      </c>
      <c r="P22" s="11" t="inlineStr">
        <is>
          <t>Прямое</t>
        </is>
      </c>
    </row>
    <row r="23" ht="92" customHeight="1" s="7">
      <c r="A23" s="11" t="n">
        <v>24</v>
      </c>
      <c r="B23" s="12" t="inlineStr">
        <is>
          <t>Зачет. Теоретико-тестовая часть</t>
        </is>
      </c>
      <c r="C23" s="11" t="inlineStr">
        <is>
          <t>BD-5</t>
        </is>
      </c>
      <c r="D23" s="11" t="inlineStr">
        <is>
          <t>BD-5.1</t>
        </is>
      </c>
      <c r="E23" s="11" t="inlineStr">
        <is>
          <t>Продвинутый</t>
        </is>
      </c>
      <c r="F23" s="12" t="inlineStr">
        <is>
          <t>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</t>
        </is>
      </c>
      <c r="G23" s="12" t="inlineStr">
        <is>
          <t>Руководит проектами по организации инфраструктуры БД</t>
        </is>
      </c>
      <c r="H23" s="12" t="inlineStr">
        <is>
          <t>Обосновывает состав MLOps-стека, связывает инструменты в воспроизводимую инфраструктуру и документирует принятые технологические решения.</t>
        </is>
      </c>
      <c r="I23" s="12" t="inlineStr">
        <is>
          <t>Вопросы промежуточной аттестации 5–10, 13–14, 18–19; тесты 1, 2, 4, 6, 8, 10</t>
        </is>
      </c>
      <c r="J23" s="12" t="inlineStr">
        <is>
          <t>Письменные ответы и результаты компетентностно-ориентированного теста по выбору и устройству MLOps-стека</t>
        </is>
      </c>
      <c r="K23" s="12" t="inlineStr">
        <is>
          <t>Корректно раскрыто назначение компонентов; выбор инструмента обоснован требованиями; показаны связи кода, данных, моделей и инфраструктуры.</t>
        </is>
      </c>
      <c r="L23" s="11" t="inlineStr">
        <is>
          <t>Промежуточная аттестация</t>
        </is>
      </c>
      <c r="M23" s="11" t="inlineStr">
        <is>
          <t>20 баллов за зачет в совокупности</t>
        </is>
      </c>
      <c r="N23" s="12" t="inlineStr">
        <is>
          <t>Exam/theoretical-questions.md; Exam/competence-tests.md; Exam/grading.md</t>
        </is>
      </c>
      <c r="O23" s="12" t="inlineStr">
        <is>
          <t>Сопоставление выполнено по содержанию банка вопросов и тестов.</t>
        </is>
      </c>
      <c r="P23" s="11" t="inlineStr">
        <is>
          <t>Прямое</t>
        </is>
      </c>
    </row>
    <row r="24" ht="92" customHeight="1" s="7">
      <c r="A24" s="11" t="n">
        <v>25</v>
      </c>
      <c r="B24" s="12" t="inlineStr">
        <is>
          <t>Зачет. Практическая часть</t>
        </is>
      </c>
      <c r="C24" s="11" t="inlineStr">
        <is>
          <t>BD-5</t>
        </is>
      </c>
      <c r="D24" s="11" t="inlineStr">
        <is>
          <t>BD-5.1</t>
        </is>
      </c>
      <c r="E24" s="11" t="inlineStr">
        <is>
          <t>Продвинутый</t>
        </is>
      </c>
      <c r="F24" s="12" t="inlineStr">
        <is>
          <t>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</t>
        </is>
      </c>
      <c r="G24" s="12" t="inlineStr">
        <is>
          <t>Руководит проектами по организации инфраструктуры БД</t>
        </is>
      </c>
      <c r="H24" s="12" t="inlineStr">
        <is>
          <t>Обосновывает состав MLOps-стека, связывает инструменты в воспроизводимую инфраструктуру и документирует принятые технологические решения.</t>
        </is>
      </c>
      <c r="I24" s="12" t="inlineStr">
        <is>
          <t>Практические задания 1, 2, 3 и 8</t>
        </is>
      </c>
      <c r="J24" s="12" t="inlineStr">
        <is>
          <t>Проект Docker/CI/CD/DVC или логическая архитектура полного MLOps-решения</t>
        </is>
      </c>
      <c r="K24" s="12" t="inlineStr">
        <is>
          <t>Стек полон и непротиворечив; потоки данных/артефактов объяснены; предусмотрены воспроизводимость, секреты и контролируемая поставка.</t>
        </is>
      </c>
      <c r="L24" s="11" t="inlineStr">
        <is>
          <t>Промежуточная аттестация</t>
        </is>
      </c>
      <c r="M24" s="11" t="inlineStr">
        <is>
          <t>20 баллов за зачет в совокупности</t>
        </is>
      </c>
      <c r="N24" s="12" t="inlineStr">
        <is>
          <t>Exam/practical-tasks.md; Exam/grading.md</t>
        </is>
      </c>
      <c r="O24" s="12" t="inlineStr">
        <is>
          <t>Практическое задание используется при необходимости прикладной проверки.</t>
        </is>
      </c>
      <c r="P24" s="11" t="inlineStr">
        <is>
          <t>Прямое</t>
        </is>
      </c>
    </row>
    <row r="25" ht="92" customHeight="1" s="7">
      <c r="A25" s="11" t="n">
        <v>26</v>
      </c>
      <c r="B25" s="12" t="inlineStr">
        <is>
          <t>Зачет. Теоретико-тестовая часть</t>
        </is>
      </c>
      <c r="C25" s="11" t="inlineStr">
        <is>
          <t>BD-5</t>
        </is>
      </c>
      <c r="D25" s="11" t="inlineStr">
        <is>
          <t>BD-5.3</t>
        </is>
      </c>
      <c r="E25" s="11" t="inlineStr">
        <is>
          <t>Продвинутый</t>
        </is>
      </c>
      <c r="F25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25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25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25" s="12" t="inlineStr">
        <is>
          <t>Вопросы 8, 11–14, 16, 18–23; тесты 2–4, 6–8, 10–12</t>
        </is>
      </c>
      <c r="J25" s="12" t="inlineStr">
        <is>
          <t>Ответы по тестированию, мониторингу, дрейфу, качеству и воспроизводимости</t>
        </is>
      </c>
      <c r="K25" s="12" t="inlineStr">
        <is>
          <t>Различены виды контроля; метрики и пороги интерпретированы; объяснены data drift, concept drift и безопасное реагирование.</t>
        </is>
      </c>
      <c r="L25" s="11" t="inlineStr">
        <is>
          <t>Промежуточная аттестация</t>
        </is>
      </c>
      <c r="M25" s="11" t="inlineStr">
        <is>
          <t>20 баллов за зачет в совокупности</t>
        </is>
      </c>
      <c r="N25" s="12" t="inlineStr">
        <is>
          <t>Exam/theoretical-questions.md; Exam/competence-tests.md; Exam/grading.md</t>
        </is>
      </c>
      <c r="O25" s="12" t="inlineStr">
        <is>
          <t>Сопоставление выполнено по содержанию банка вопросов и тестов.</t>
        </is>
      </c>
      <c r="P25" s="11" t="inlineStr">
        <is>
          <t>Прямое</t>
        </is>
      </c>
    </row>
    <row r="26" ht="92" customHeight="1" s="7">
      <c r="A26" s="11" t="n">
        <v>27</v>
      </c>
      <c r="B26" s="12" t="inlineStr">
        <is>
          <t>Зачет. Практическая часть</t>
        </is>
      </c>
      <c r="C26" s="11" t="inlineStr">
        <is>
          <t>BD-5</t>
        </is>
      </c>
      <c r="D26" s="11" t="inlineStr">
        <is>
          <t>BD-5.3</t>
        </is>
      </c>
      <c r="E26" s="11" t="inlineStr">
        <is>
          <t>Продвинутый</t>
        </is>
      </c>
      <c r="F26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G26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H26" s="12" t="inlineStr">
        <is>
          <t>Организует автоматизированные проверки данных, кода, модели и сервиса; анализирует метрики, воспроизводимость, стабильность и признаки деградации ML-решения.</t>
        </is>
      </c>
      <c r="I26" s="12" t="inlineStr">
        <is>
          <t>Практические задания 2, 3, 5, 6 и 7</t>
        </is>
      </c>
      <c r="J26" s="12" t="inlineStr">
        <is>
          <t>План проверок pipeline, сравнение версий/экспериментов, мониторинг или диагностика деградации</t>
        </is>
      </c>
      <c r="K26" s="12" t="inlineStr">
        <is>
          <t>Предложены проверяемые шаги; есть критерии остановки/отката; метрики охватывают сервис и модель; выводы основаны на наблюдаемых данных.</t>
        </is>
      </c>
      <c r="L26" s="11" t="inlineStr">
        <is>
          <t>Промежуточная аттестация</t>
        </is>
      </c>
      <c r="M26" s="11" t="inlineStr">
        <is>
          <t>20 баллов за зачет в совокупности</t>
        </is>
      </c>
      <c r="N26" s="12" t="inlineStr">
        <is>
          <t>Exam/practical-tasks.md; Exam/grading.md</t>
        </is>
      </c>
      <c r="O26" s="12" t="inlineStr">
        <is>
          <t>Практическое задание используется при необходимости прикладной проверки.</t>
        </is>
      </c>
      <c r="P26" s="11" t="inlineStr">
        <is>
          <t>Прямое</t>
        </is>
      </c>
    </row>
    <row r="27" ht="92" customHeight="1" s="7">
      <c r="A27" s="11" t="n">
        <v>28</v>
      </c>
      <c r="B27" s="12" t="inlineStr">
        <is>
          <t>Зачет. Теоретико-тестовая часть</t>
        </is>
      </c>
      <c r="C27" s="11" t="inlineStr">
        <is>
          <t>ML-2</t>
        </is>
      </c>
      <c r="D27" s="11" t="inlineStr">
        <is>
          <t>ML-2.2</t>
        </is>
      </c>
      <c r="E27" s="11" t="inlineStr">
        <is>
          <t>Продвинутый</t>
        </is>
      </c>
      <c r="F27" s="12" t="inlineStr">
        <is>
          <t>Применяет методы предварительной обработки данных и работы с признаками</t>
        </is>
      </c>
      <c r="G27" s="12" t="inlineStr">
        <is>
          <t>Проектирует и внедряет комплексные пайплайны предварительной обработки данных с использованием современных методов ИИ, автоматизации и генерации признаков в различных предметных областях</t>
        </is>
      </c>
      <c r="H27" s="12" t="inlineStr">
        <is>
          <t>Проектирует воспроизводимую подготовку данных и признаков, контролирует качество данных, исключает утечку и связывает версии данных с результатами обучения.</t>
        </is>
      </c>
      <c r="I27" s="12" t="inlineStr">
        <is>
          <t>Вопросы 10–14, 20–21; тесты 2, 4, 7 и 11</t>
        </is>
      </c>
      <c r="J27" s="12" t="inlineStr">
        <is>
          <t>Ответы по ML pipeline, качеству/схеме данных, версионированию и дрейфу</t>
        </is>
      </c>
      <c r="K27" s="12" t="inlineStr">
        <is>
          <t>Этапы подготовки данных названы и связаны; исключена утечка; объяснены версия данных, признаки и контроль качества.</t>
        </is>
      </c>
      <c r="L27" s="11" t="inlineStr">
        <is>
          <t>Промежуточная аттестация</t>
        </is>
      </c>
      <c r="M27" s="11" t="inlineStr">
        <is>
          <t>20 баллов за зачет в совокупности</t>
        </is>
      </c>
      <c r="N27" s="12" t="inlineStr">
        <is>
          <t>Exam/theoretical-questions.md; Exam/competence-tests.md; Exam/grading.md</t>
        </is>
      </c>
      <c r="O27" s="12" t="inlineStr">
        <is>
          <t>Сопоставление выполнено по содержанию банка вопросов и тестов.</t>
        </is>
      </c>
      <c r="P27" s="11" t="inlineStr">
        <is>
          <t>Прямое</t>
        </is>
      </c>
    </row>
    <row r="28" ht="92" customHeight="1" s="7">
      <c r="A28" s="11" t="n">
        <v>29</v>
      </c>
      <c r="B28" s="12" t="inlineStr">
        <is>
          <t>Зачет. Практическая часть</t>
        </is>
      </c>
      <c r="C28" s="11" t="inlineStr">
        <is>
          <t>ML-2</t>
        </is>
      </c>
      <c r="D28" s="11" t="inlineStr">
        <is>
          <t>ML-2.2</t>
        </is>
      </c>
      <c r="E28" s="11" t="inlineStr">
        <is>
          <t>Продвинутый</t>
        </is>
      </c>
      <c r="F28" s="12" t="inlineStr">
        <is>
          <t>Применяет методы предварительной обработки данных и работы с признаками</t>
        </is>
      </c>
      <c r="G28" s="12" t="inlineStr">
        <is>
          <t>Проектирует и внедряет комплексные пайплайны предварительной обработки данных с использованием современных методов ИИ, автоматизации и генерации признаков в различных предметных областях</t>
        </is>
      </c>
      <c r="H28" s="12" t="inlineStr">
        <is>
          <t>Проектирует воспроизводимую подготовку данных и признаков, контролирует качество данных, исключает утечку и связывает версии данных с результатами обучения.</t>
        </is>
      </c>
      <c r="I28" s="12" t="inlineStr">
        <is>
          <t>Практические задания 3 и 6</t>
        </is>
      </c>
      <c r="J28" s="12" t="inlineStr">
        <is>
          <t>Последовательность воспроизводимой фиксации данных/эксперимента или план диагностики изменения распределений</t>
        </is>
      </c>
      <c r="K28" s="12" t="inlineStr">
        <is>
          <t>Предусмотрены проверка данных, воспроизводимость и сравнение метрик; действия при деградации безопасны и последовательны.</t>
        </is>
      </c>
      <c r="L28" s="11" t="inlineStr">
        <is>
          <t>Промежуточная аттестация</t>
        </is>
      </c>
      <c r="M28" s="11" t="inlineStr">
        <is>
          <t>20 баллов за зачет в совокупности</t>
        </is>
      </c>
      <c r="N28" s="12" t="inlineStr">
        <is>
          <t>Exam/practical-tasks.md; Exam/grading.md</t>
        </is>
      </c>
      <c r="O28" s="12" t="inlineStr">
        <is>
          <t>Практическое задание используется при необходимости прикладной проверки.</t>
        </is>
      </c>
      <c r="P28" s="11" t="inlineStr">
        <is>
          <t>Прямое</t>
        </is>
      </c>
    </row>
    <row r="29" ht="92" customHeight="1" s="7">
      <c r="A29" s="11" t="n">
        <v>34</v>
      </c>
      <c r="B29" s="12" t="inlineStr">
        <is>
          <t>Зачет. Теоретико-тестовая часть</t>
        </is>
      </c>
      <c r="C29" s="11" t="inlineStr">
        <is>
          <t>LC-3</t>
        </is>
      </c>
      <c r="D29" s="11" t="inlineStr">
        <is>
          <t>LC-3.1</t>
        </is>
      </c>
      <c r="E29" s="11" t="inlineStr">
        <is>
          <t>Средний</t>
        </is>
      </c>
      <c r="F29" s="12" t="inlineStr">
        <is>
          <t>Создает и развивает архитектуры системы ИИ на всех этапах жизненного цикла</t>
        </is>
      </c>
      <c r="G29" s="12" t="inlineStr">
        <is>
          <t>Применяет различные принципы и паттерны при проектировании архитектуры систем ИИ</t>
        </is>
      </c>
      <c r="H29" s="12" t="inlineStr">
        <is>
          <t>Проектирует и объясняет архитектуру ML-решения от подготовки данных и обучения до API, наблюдаемости и сопровождения.</t>
        </is>
      </c>
      <c r="I29" s="12" t="inlineStr">
        <is>
          <t>Вопросы 2, 10, 14–15, 17–19, 24–25</t>
        </is>
      </c>
      <c r="J29" s="12" t="inlineStr">
        <is>
          <t>Ответы по жизненному циклу и архитектуре ML-системы</t>
        </is>
      </c>
      <c r="K29" s="12" t="inlineStr">
        <is>
          <t>Архитектурные компоненты и стадии жизненного цикла связаны; границы ответственности и потоки объяснены.</t>
        </is>
      </c>
      <c r="L29" s="11" t="inlineStr">
        <is>
          <t>Промежуточная аттестация</t>
        </is>
      </c>
      <c r="M29" s="11" t="inlineStr">
        <is>
          <t>20 баллов за зачет в совокупности</t>
        </is>
      </c>
      <c r="N29" s="12" t="inlineStr">
        <is>
          <t>Exam/theoretical-questions.md; Exam/competence-tests.md; Exam/grading.md</t>
        </is>
      </c>
      <c r="O29" s="12" t="inlineStr">
        <is>
          <t>Сопоставление выполнено по содержанию банка вопросов и тестов.</t>
        </is>
      </c>
      <c r="P29" s="11" t="inlineStr">
        <is>
          <t>Прямое</t>
        </is>
      </c>
    </row>
    <row r="30" ht="92" customHeight="1" s="7">
      <c r="A30" s="11" t="n">
        <v>35</v>
      </c>
      <c r="B30" s="12" t="inlineStr">
        <is>
          <t>Зачет. Практическая часть</t>
        </is>
      </c>
      <c r="C30" s="11" t="inlineStr">
        <is>
          <t>LC-3</t>
        </is>
      </c>
      <c r="D30" s="11" t="inlineStr">
        <is>
          <t>LC-3.1</t>
        </is>
      </c>
      <c r="E30" s="11" t="inlineStr">
        <is>
          <t>Средний</t>
        </is>
      </c>
      <c r="F30" s="12" t="inlineStr">
        <is>
          <t>Создает и развивает архитектуры системы ИИ на всех этапах жизненного цикла</t>
        </is>
      </c>
      <c r="G30" s="12" t="inlineStr">
        <is>
          <t>Применяет различные принципы и паттерны при проектировании архитектуры систем ИИ</t>
        </is>
      </c>
      <c r="H30" s="12" t="inlineStr">
        <is>
          <t>Проектирует и объясняет архитектуру ML-решения от подготовки данных и обучения до API, наблюдаемости и сопровождения.</t>
        </is>
      </c>
      <c r="I30" s="12" t="inlineStr">
        <is>
          <t>Практические задания 4, 5 и 8</t>
        </is>
      </c>
      <c r="J30" s="12" t="inlineStr">
        <is>
          <t>Архитектура API/мониторинга или полная схема MLOps-решения с потоками данных и артефактов</t>
        </is>
      </c>
      <c r="K30" s="12" t="inlineStr">
        <is>
          <t>Схема целостна; определены интерфейсы, хранилища, поставка и наблюдаемость; решение допускает развитие и сопровождение.</t>
        </is>
      </c>
      <c r="L30" s="11" t="inlineStr">
        <is>
          <t>Промежуточная аттестация</t>
        </is>
      </c>
      <c r="M30" s="11" t="inlineStr">
        <is>
          <t>20 баллов за зачет в совокупности</t>
        </is>
      </c>
      <c r="N30" s="12" t="inlineStr">
        <is>
          <t>Exam/practical-tasks.md; Exam/grading.md</t>
        </is>
      </c>
      <c r="O30" s="12" t="inlineStr">
        <is>
          <t>Практическое задание используется при необходимости прикладной проверки.</t>
        </is>
      </c>
      <c r="P30" s="11" t="inlineStr">
        <is>
          <t>Прямое</t>
        </is>
      </c>
    </row>
    <row r="31" ht="92" customHeight="1" s="7">
      <c r="A31" s="11" t="n">
        <v>36</v>
      </c>
      <c r="B31" s="12" t="inlineStr">
        <is>
          <t>Зачет. Теоретико-тестовая часть</t>
        </is>
      </c>
      <c r="C31" s="11" t="inlineStr">
        <is>
          <t>LC-5</t>
        </is>
      </c>
      <c r="D31" s="11" t="inlineStr">
        <is>
          <t>LC-5.1</t>
        </is>
      </c>
      <c r="E31" s="11" t="inlineStr">
        <is>
          <t>Средний</t>
        </is>
      </c>
      <c r="F31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31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31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31" s="12" t="inlineStr">
        <is>
          <t>Вопросы 5–9, 12–19 и 22–24; тесты 1–6 и 8–12</t>
        </is>
      </c>
      <c r="J31" s="12" t="inlineStr">
        <is>
          <t>Ответы по Docker, CI/CD, MLflow, DVC, FastAPI, Prometheus и Grafana</t>
        </is>
      </c>
      <c r="K31" s="12" t="inlineStr">
        <is>
          <t>Инструменты соотнесены с задачами жизненного цикла; объяснены интеграция, безопасность и эксплуатационные ограничения.</t>
        </is>
      </c>
      <c r="L31" s="11" t="inlineStr">
        <is>
          <t>Промежуточная аттестация</t>
        </is>
      </c>
      <c r="M31" s="11" t="inlineStr">
        <is>
          <t>20 баллов за зачет в совокупности</t>
        </is>
      </c>
      <c r="N31" s="12" t="inlineStr">
        <is>
          <t>Exam/theoretical-questions.md; Exam/competence-tests.md; Exam/grading.md</t>
        </is>
      </c>
      <c r="O31" s="12" t="inlineStr">
        <is>
          <t>Сопоставление выполнено по содержанию банка вопросов и тестов.</t>
        </is>
      </c>
      <c r="P31" s="11" t="inlineStr">
        <is>
          <t>Прямое</t>
        </is>
      </c>
    </row>
    <row r="32" ht="92" customHeight="1" s="7">
      <c r="A32" s="11" t="n">
        <v>37</v>
      </c>
      <c r="B32" s="12" t="inlineStr">
        <is>
          <t>Зачет. Практическая часть</t>
        </is>
      </c>
      <c r="C32" s="11" t="inlineStr">
        <is>
          <t>LC-5</t>
        </is>
      </c>
      <c r="D32" s="11" t="inlineStr">
        <is>
          <t>LC-5.1</t>
        </is>
      </c>
      <c r="E32" s="11" t="inlineStr">
        <is>
          <t>Средний</t>
        </is>
      </c>
      <c r="F32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G32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H32" s="12" t="inlineStr">
        <is>
          <t>Выбирает, настраивает и интегрирует Docker, CI/CD, MLflow, DVC, FastAPI, Prometheus и Grafana для промышленного жизненного цикла модели.</t>
        </is>
      </c>
      <c r="I32" s="12" t="inlineStr">
        <is>
          <t>Практические задания 1–5, 7 и 8</t>
        </is>
      </c>
      <c r="J32" s="12" t="inlineStr">
        <is>
          <t>Настройка или проектирование промышленного контура разработки, развертывания и мониторинга</t>
        </is>
      </c>
      <c r="K32" s="12" t="inlineStr">
        <is>
          <t>Компоненты настроены/спроектированы последовательно; предусмотрены тесты, артефакты, мониторинг, откат и документирование.</t>
        </is>
      </c>
      <c r="L32" s="11" t="inlineStr">
        <is>
          <t>Промежуточная аттестация</t>
        </is>
      </c>
      <c r="M32" s="11" t="inlineStr">
        <is>
          <t>20 баллов за зачет в совокупности</t>
        </is>
      </c>
      <c r="N32" s="12" t="inlineStr">
        <is>
          <t>Exam/practical-tasks.md; Exam/grading.md</t>
        </is>
      </c>
      <c r="O32" s="12" t="inlineStr">
        <is>
          <t>Практическое задание используется при необходимости прикладной проверки.</t>
        </is>
      </c>
      <c r="P32" s="11" t="inlineStr">
        <is>
          <t>Прямое</t>
        </is>
      </c>
    </row>
  </sheetData>
  <mergeCells count="2">
    <mergeCell ref="A1:P1"/>
    <mergeCell ref="A2:P2"/>
  </mergeCells>
  <conditionalFormatting sqref="P5:P32">
    <cfRule type="expression" rank="0" priority="2" equalAverage="0" aboveAverage="0" dxfId="7" text="" percent="0" bottom="0">
      <formula>P5="Прямое"</formula>
    </cfRule>
    <cfRule type="expression" rank="0" priority="3" equalAverage="0" aboveAverage="0" dxfId="8" text="" percent="0" bottom="0">
      <formula>P5="Частичное"</formula>
    </cfRule>
  </conditionalFormatting>
  <conditionalFormatting sqref="D5:D32">
    <cfRule type="expression" rank="0" priority="4" equalAverage="0" aboveAverage="0" dxfId="9" text="" percent="0" bottom="0">
      <formula>OR(D5="DL-3.3",D5="PL-1.3")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1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7" activeCellId="0" sqref="A7"/>
    </sheetView>
  </sheetViews>
  <sheetFormatPr baseColWidth="8" defaultColWidth="8.6796875" defaultRowHeight="15" zeroHeight="0" outlineLevelRow="0"/>
  <cols>
    <col width="13" customWidth="1" style="6" min="1" max="3"/>
    <col width="32" customWidth="1" style="6" min="4" max="4"/>
    <col width="12" customWidth="1" style="6" min="5" max="6"/>
    <col width="15" customWidth="1" style="6" min="7" max="7"/>
    <col width="16" customWidth="1" style="6" min="8" max="8"/>
    <col width="58" customWidth="1" style="6" min="9" max="9"/>
  </cols>
  <sheetData>
    <row r="1" ht="30" customHeight="1" s="7">
      <c r="A1" s="8" t="inlineStr">
        <is>
          <t>Сводка покрытия индикаторов</t>
        </is>
      </c>
    </row>
    <row r="3" ht="42" customHeight="1" s="7">
      <c r="A3" s="10" t="inlineStr">
        <is>
          <t>Индикатор</t>
        </is>
      </c>
      <c r="B3" s="10" t="inlineStr">
        <is>
          <t>Компетенция</t>
        </is>
      </c>
      <c r="C3" s="10" t="inlineStr">
        <is>
          <t>Уровень</t>
        </is>
      </c>
      <c r="D3" s="10" t="inlineStr">
        <is>
          <t>Лабораторные работы</t>
        </is>
      </c>
      <c r="E3" s="10" t="inlineStr">
        <is>
          <t>Строк ЛР</t>
        </is>
      </c>
      <c r="F3" s="10" t="inlineStr">
        <is>
          <t>Строк зачета</t>
        </is>
      </c>
      <c r="G3" s="10" t="inlineStr">
        <is>
          <t>Всего измерений</t>
        </is>
      </c>
      <c r="H3" s="10" t="inlineStr">
        <is>
          <t>Итоговый статус</t>
        </is>
      </c>
      <c r="I3" s="10" t="inlineStr">
        <is>
          <t>Комментарий для проверки</t>
        </is>
      </c>
    </row>
    <row r="4" ht="58" customHeight="1" s="7">
      <c r="A4" s="11" t="inlineStr">
        <is>
          <t>BD-5.1</t>
        </is>
      </c>
      <c r="B4" s="11" t="inlineStr">
        <is>
          <t>BD-5</t>
        </is>
      </c>
      <c r="C4" s="11" t="inlineStr">
        <is>
          <t>Продвинутый</t>
        </is>
      </c>
      <c r="D4" s="12" t="inlineStr">
        <is>
          <t>ЛР 1, ЛР 8</t>
        </is>
      </c>
      <c r="E4" s="11">
        <f>COUNTIFS('Модель измерения'!$D$5:$D$32,A4,'Модель измерения'!$L$5:$L$32,"Выполнение и защита лабораторной работы")</f>
        <v/>
      </c>
      <c r="F4" s="11">
        <f>COUNTIFS('Модель измерения'!$D$5:$D$32,A4,'Модель измерения'!$L$5:$L$32,"Промежуточная аттестация")</f>
        <v/>
      </c>
      <c r="G4" s="11">
        <f>E4+F4</f>
        <v/>
      </c>
      <c r="H4" s="11" t="inlineStr">
        <is>
          <t>Прямое</t>
        </is>
      </c>
      <c r="I4" s="12" t="inlineStr">
        <is>
          <t>Покрывается выбором Docker/MLOps-стека и архитектуры мониторинга.</t>
        </is>
      </c>
    </row>
    <row r="5" ht="58" customHeight="1" s="7">
      <c r="A5" s="11" t="inlineStr">
        <is>
          <t>BD-5.3</t>
        </is>
      </c>
      <c r="B5" s="11" t="inlineStr">
        <is>
          <t>BD-5</t>
        </is>
      </c>
      <c r="C5" s="11" t="inlineStr">
        <is>
          <t>Продвинутый</t>
        </is>
      </c>
      <c r="D5" s="12" t="inlineStr">
        <is>
          <t>ЛР 2, ЛР 3, ЛР 5, ЛР 6, ЛР 7, ЛР 8</t>
        </is>
      </c>
      <c r="E5" s="11">
        <f>COUNTIFS('Модель измерения'!$D$5:$D$32,A5,'Модель измерения'!$L$5:$L$32,"Выполнение и защита лабораторной работы")</f>
        <v/>
      </c>
      <c r="F5" s="11">
        <f>COUNTIFS('Модель измерения'!$D$5:$D$32,A5,'Модель измерения'!$L$5:$L$32,"Промежуточная аттестация")</f>
        <v/>
      </c>
      <c r="G5" s="11">
        <f>E5+F5</f>
        <v/>
      </c>
      <c r="H5" s="11" t="inlineStr">
        <is>
          <t>Прямое</t>
        </is>
      </c>
      <c r="I5" s="12" t="inlineStr">
        <is>
          <t>Наиболее широко измеряемый индикатор: тесты, эксперименты, API и мониторинг.</t>
        </is>
      </c>
    </row>
    <row r="6" ht="58" customHeight="1" s="7">
      <c r="A6" s="11" t="inlineStr">
        <is>
          <t>ML-2.2</t>
        </is>
      </c>
      <c r="B6" s="11" t="inlineStr">
        <is>
          <t>ML-2</t>
        </is>
      </c>
      <c r="C6" s="11" t="inlineStr">
        <is>
          <t>Продвинутый</t>
        </is>
      </c>
      <c r="D6" s="12" t="inlineStr">
        <is>
          <t>ЛР 4, ЛР 5, ЛР 6</t>
        </is>
      </c>
      <c r="E6" s="11">
        <f>COUNTIFS('Модель измерения'!$D$5:$D$32,A6,'Модель измерения'!$L$5:$L$32,"Выполнение и защита лабораторной работы")</f>
        <v/>
      </c>
      <c r="F6" s="11">
        <f>COUNTIFS('Модель измерения'!$D$5:$D$32,A6,'Модель измерения'!$L$5:$L$32,"Промежуточная аттестация")</f>
        <v/>
      </c>
      <c r="G6" s="11">
        <f>E6+F6</f>
        <v/>
      </c>
      <c r="H6" s="11" t="inlineStr">
        <is>
          <t>Прямое</t>
        </is>
      </c>
      <c r="I6" s="12" t="inlineStr">
        <is>
          <t>Основное подтверждение — ЛР 4 и ЛР 6; ЛР 5 является поддерживающим измерением.</t>
        </is>
      </c>
    </row>
    <row r="7" ht="58" customHeight="1" s="7">
      <c r="A7" s="11" t="inlineStr">
        <is>
          <t>LC-3.1</t>
        </is>
      </c>
      <c r="B7" s="11" t="inlineStr">
        <is>
          <t>LC-3</t>
        </is>
      </c>
      <c r="C7" s="11" t="inlineStr">
        <is>
          <t>Средний</t>
        </is>
      </c>
      <c r="D7" s="12" t="inlineStr">
        <is>
          <t>ЛР 4</t>
        </is>
      </c>
      <c r="E7" s="11">
        <f>COUNTIFS('Модель измерения'!$D$5:$D$32,A7,'Модель измерения'!$L$5:$L$32,"Выполнение и защита лабораторной работы")</f>
        <v/>
      </c>
      <c r="F7" s="11">
        <f>COUNTIFS('Модель измерения'!$D$5:$D$32,A7,'Модель измерения'!$L$5:$L$32,"Промежуточная аттестация")</f>
        <v/>
      </c>
      <c r="G7" s="11">
        <f>E7+F7</f>
        <v/>
      </c>
      <c r="H7" s="11" t="inlineStr">
        <is>
          <t>Прямое</t>
        </is>
      </c>
      <c r="I7" s="12" t="inlineStr">
        <is>
          <t>Прямое лабораторное измерение сосредоточено в ЛР 4; дополняется практической частью зачета.</t>
        </is>
      </c>
    </row>
    <row r="8" ht="58" customHeight="1" s="7">
      <c r="A8" s="11" t="inlineStr">
        <is>
          <t>LC-5.1</t>
        </is>
      </c>
      <c r="B8" s="11" t="inlineStr">
        <is>
          <t>LC-5</t>
        </is>
      </c>
      <c r="C8" s="11" t="inlineStr">
        <is>
          <t>Средний</t>
        </is>
      </c>
      <c r="D8" s="12" t="inlineStr">
        <is>
          <t>ЛР 1, ЛР 2, ЛР 3, ЛР 5, ЛР 7, ЛР 8</t>
        </is>
      </c>
      <c r="E8" s="11">
        <f>COUNTIFS('Модель измерения'!$D$5:$D$32,A8,'Модель измерения'!$L$5:$L$32,"Выполнение и защита лабораторной работы")</f>
        <v/>
      </c>
      <c r="F8" s="11">
        <f>COUNTIFS('Модель измерения'!$D$5:$D$32,A8,'Модель измерения'!$L$5:$L$32,"Промежуточная аттестация")</f>
        <v/>
      </c>
      <c r="G8" s="11">
        <f>E8+F8</f>
        <v/>
      </c>
      <c r="H8" s="11" t="inlineStr">
        <is>
          <t>Прямое</t>
        </is>
      </c>
      <c r="I8" s="12" t="inlineStr">
        <is>
          <t>Системно измеряется на всех основных этапах промышленного жизненного цикла.</t>
        </is>
      </c>
    </row>
    <row r="1048575" ht="12.8" customHeight="1" s="7"/>
    <row r="1048576" ht="12.8" customHeight="1" s="7"/>
  </sheetData>
  <mergeCells count="1">
    <mergeCell ref="A1:I1"/>
  </mergeCells>
  <conditionalFormatting sqref="H4:H8">
    <cfRule type="expression" rank="0" priority="2" equalAverage="0" aboveAverage="0" dxfId="7" text="" percent="0" bottom="0">
      <formula>H4="Прямое"</formula>
    </cfRule>
    <cfRule type="expression" rank="0" priority="3" equalAverage="0" aboveAverage="0" dxfId="8" text="" percent="0" bottom="0">
      <formula>H4="Частичное"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1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7" activeCellId="0" sqref="A7"/>
    </sheetView>
  </sheetViews>
  <sheetFormatPr baseColWidth="8" defaultColWidth="8.6796875" defaultRowHeight="15" zeroHeight="0" outlineLevelRow="0"/>
  <cols>
    <col width="14" customWidth="1" style="6" min="1" max="1"/>
    <col width="48" customWidth="1" style="6" min="2" max="2"/>
    <col width="13" customWidth="1" style="6" min="3" max="4"/>
    <col width="52" customWidth="1" style="6" min="5" max="5"/>
    <col width="55" customWidth="1" style="6" min="6" max="6"/>
    <col width="46" customWidth="1" style="6" min="7" max="7"/>
  </cols>
  <sheetData>
    <row r="1" ht="30" customHeight="1" s="7">
      <c r="A1" s="8" t="inlineStr">
        <is>
          <t>Выбранные компетенции и индикаторы КРМ 3.0</t>
        </is>
      </c>
    </row>
    <row r="3" ht="42" customHeight="1" s="7">
      <c r="A3" s="10" t="inlineStr">
        <is>
          <t>Код компетенции</t>
        </is>
      </c>
      <c r="B3" s="10" t="inlineStr">
        <is>
          <t>Формулировка компетенции</t>
        </is>
      </c>
      <c r="C3" s="10" t="inlineStr">
        <is>
          <t>Индикатор</t>
        </is>
      </c>
      <c r="D3" s="10" t="inlineStr">
        <is>
          <t>Уровень</t>
        </is>
      </c>
      <c r="E3" s="10" t="inlineStr">
        <is>
          <t>Формулировка индикатора</t>
        </is>
      </c>
      <c r="F3" s="10" t="inlineStr">
        <is>
          <t>Дескриптор выбранного уровня</t>
        </is>
      </c>
      <c r="G3" s="10" t="inlineStr">
        <is>
          <t>Примечание</t>
        </is>
      </c>
    </row>
    <row r="4" ht="92" customHeight="1" s="7">
      <c r="A4" s="11" t="inlineStr">
        <is>
          <t>BD-5</t>
        </is>
      </c>
      <c r="B4" s="12" t="inlineStr">
        <is>
          <t>Способен применять технологии организации инфраструктуры больших данных</t>
        </is>
      </c>
      <c r="C4" s="11" t="inlineStr">
        <is>
          <t>BD-5.1</t>
        </is>
      </c>
      <c r="D4" s="11" t="inlineStr">
        <is>
          <t>Продвинутый</t>
        </is>
      </c>
      <c r="E4" s="12" t="inlineStr">
        <is>
          <t>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</t>
        </is>
      </c>
      <c r="F4" s="12" t="inlineStr">
        <is>
          <t>Руководит проектами по организации инфраструктуры БД</t>
        </is>
      </c>
      <c r="G4" s="12" t="n"/>
    </row>
    <row r="5" ht="92" customHeight="1" s="7">
      <c r="A5" s="11" t="inlineStr">
        <is>
          <t>BD-5</t>
        </is>
      </c>
      <c r="B5" s="12" t="inlineStr">
        <is>
          <t>Способен применять технологии организации инфраструктуры больших данных</t>
        </is>
      </c>
      <c r="C5" s="11" t="inlineStr">
        <is>
          <t>BD-5.3</t>
        </is>
      </c>
      <c r="D5" s="11" t="inlineStr">
        <is>
          <t>Продвинутый</t>
        </is>
      </c>
      <c r="E5" s="12" t="inlineStr">
        <is>
          <t>Тестирует, испытывает и оценивает качество решений с элементами ИИ, реализованных с использованием технологий организации инфраструктуры БД</t>
        </is>
      </c>
      <c r="F5" s="12" t="inlineStr">
        <is>
          <t>Оценивает качество решений с элементами ИИ, реализованных с использованием технологий организации инфраструктуры БД</t>
        </is>
      </c>
      <c r="G5" s="12" t="n"/>
    </row>
    <row r="6" ht="92" customHeight="1" s="7">
      <c r="A6" s="11" t="inlineStr">
        <is>
          <t>ML-2</t>
        </is>
      </c>
      <c r="B6" s="12" t="inlineStr">
        <is>
          <t>Способен применять фундаментальные принципы и методы машинного обучения, включая подготовку данных, оценку качества моделей и работу с признаками</t>
        </is>
      </c>
      <c r="C6" s="11" t="inlineStr">
        <is>
          <t>ML-2.2</t>
        </is>
      </c>
      <c r="D6" s="11" t="inlineStr">
        <is>
          <t>Продвинутый</t>
        </is>
      </c>
      <c r="E6" s="12" t="inlineStr">
        <is>
          <t>Применяет методы предварительной обработки данных и работы с признаками</t>
        </is>
      </c>
      <c r="F6" s="12" t="inlineStr">
        <is>
          <t>Проектирует и внедряет комплексные пайплайны предварительной обработки данных с использованием современных методов ИИ, автоматизации и генерации признаков в различных предметных областях</t>
        </is>
      </c>
      <c r="G6" s="12" t="n"/>
    </row>
    <row r="7" ht="92" customHeight="1" s="7">
      <c r="A7" s="11" t="inlineStr">
        <is>
          <t>LC-3</t>
        </is>
      </c>
      <c r="B7" s="12" t="inlineStr">
        <is>
          <t>Способен проектировать и поддерживать архитектуру систем искусственного интеллекта</t>
        </is>
      </c>
      <c r="C7" s="11" t="inlineStr">
        <is>
          <t>LC-3.1</t>
        </is>
      </c>
      <c r="D7" s="11" t="inlineStr">
        <is>
          <t>Средний</t>
        </is>
      </c>
      <c r="E7" s="12" t="inlineStr">
        <is>
          <t>Создает и развивает архитектуры системы ИИ на всех этапах жизненного цикла</t>
        </is>
      </c>
      <c r="F7" s="12" t="inlineStr">
        <is>
          <t>Применяет различные принципы и паттерны при проектировании архитектуры систем ИИ</t>
        </is>
      </c>
      <c r="G7" s="12" t="n"/>
    </row>
    <row r="8" ht="92" customHeight="1" s="7">
      <c r="A8" s="11" t="inlineStr">
        <is>
          <t>LC-5</t>
        </is>
      </c>
      <c r="B8" s="12" t="inlineStr">
        <is>
          <t>Способен применять и (или) проектировать различные инструменты и инженерные практики промышленной разработки, развертывания, эксплуатации и мониторинга систем ИИ</t>
        </is>
      </c>
      <c r="C8" s="11" t="inlineStr">
        <is>
          <t>LC-5.1</t>
        </is>
      </c>
      <c r="D8" s="11" t="inlineStr">
        <is>
          <t>Средний</t>
        </is>
      </c>
      <c r="E8" s="12" t="inlineStr">
        <is>
          <t>Осуществляет выбор инструментов и инженерных практик промышленной разработки систем ИИ, развертывания и сопровождения моделей МО в продуктивной среде</t>
        </is>
      </c>
      <c r="F8" s="12" t="inlineStr">
        <is>
          <t>Настраивает и кастомизирует различные инструменты и инженерные практики промышленной разработки систем ИИ, развертывания и сопровождения моделей МО в рабочей версии ПО</t>
        </is>
      </c>
      <c r="G8" s="12" t="n"/>
    </row>
    <row r="1048575" ht="12.8" customHeight="1" s="7"/>
    <row r="1048576" ht="12.8" customHeight="1" s="7"/>
  </sheetData>
  <mergeCells count="1">
    <mergeCell ref="A1:G1"/>
  </mergeCells>
  <conditionalFormatting sqref="C4:C8">
    <cfRule type="expression" rank="0" priority="2" equalAverage="0" aboveAverage="0" dxfId="9" text="" percent="0" bottom="0">
      <formula>OR(C4="DL-3.3",C4="PL-1.3")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2026-07-28T16:36:08Z</dcterms:created>
  <dcterms:modified xsi:type="dcterms:W3CDTF">2026-07-28T16:36:08Z</dcterms:modified>
  <cp:revision>1</cp:revision>
</cp:coreProperties>
</file>